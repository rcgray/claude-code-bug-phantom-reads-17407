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ray/Projects/claude-code-bug-phantom-reads-17407/dev/"/>
    </mc:Choice>
  </mc:AlternateContent>
  <xr:revisionPtr revIDLastSave="0" documentId="8_{1D520F4D-DB4E-4649-A0BD-E5CA0074771F}" xr6:coauthVersionLast="47" xr6:coauthVersionMax="47" xr10:uidLastSave="{00000000-0000-0000-0000-000000000000}"/>
  <bookViews>
    <workbookView xWindow="88860" yWindow="8620" windowWidth="28040" windowHeight="17180" xr2:uid="{AA9C5E26-9D6E-1E43-B902-74000A46D61A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" l="1"/>
  <c r="K22" i="1"/>
  <c r="I23" i="1" s="1"/>
  <c r="K20" i="1"/>
  <c r="I21" i="1" s="1"/>
  <c r="D23" i="1"/>
  <c r="I19" i="1"/>
  <c r="K18" i="1"/>
  <c r="K15" i="1"/>
  <c r="K14" i="1"/>
  <c r="K13" i="1"/>
  <c r="J15" i="1"/>
  <c r="J14" i="1"/>
  <c r="J13" i="1"/>
  <c r="K11" i="1"/>
  <c r="J11" i="1"/>
  <c r="I11" i="1"/>
  <c r="K5" i="1"/>
  <c r="K6" i="1"/>
  <c r="K7" i="1"/>
  <c r="K8" i="1"/>
  <c r="K9" i="1"/>
  <c r="K4" i="1"/>
  <c r="D16" i="1"/>
  <c r="E16" i="1" s="1"/>
  <c r="D15" i="1"/>
  <c r="D18" i="1" s="1"/>
  <c r="E18" i="1" s="1"/>
  <c r="B16" i="1"/>
  <c r="C16" i="1" s="1"/>
  <c r="B15" i="1"/>
  <c r="C15" i="1" s="1"/>
  <c r="E12" i="1"/>
  <c r="E11" i="1"/>
  <c r="E10" i="1"/>
  <c r="E9" i="1"/>
  <c r="E8" i="1"/>
  <c r="E7" i="1"/>
  <c r="E6" i="1"/>
  <c r="E5" i="1"/>
  <c r="E4" i="1"/>
  <c r="C12" i="1"/>
  <c r="C11" i="1"/>
  <c r="C10" i="1"/>
  <c r="C9" i="1"/>
  <c r="C8" i="1"/>
  <c r="C7" i="1"/>
  <c r="C6" i="1"/>
  <c r="C5" i="1"/>
  <c r="C4" i="1"/>
  <c r="D14" i="1"/>
  <c r="E14" i="1" s="1"/>
  <c r="B14" i="1"/>
  <c r="C14" i="1" s="1"/>
  <c r="E15" i="1" l="1"/>
  <c r="B18" i="1"/>
  <c r="C18" i="1" s="1"/>
</calcChain>
</file>

<file path=xl/sharedStrings.xml><?xml version="1.0" encoding="utf-8"?>
<sst xmlns="http://schemas.openxmlformats.org/spreadsheetml/2006/main" count="22" uniqueCount="22">
  <si>
    <t>Token %</t>
  </si>
  <si>
    <t>Tokens</t>
  </si>
  <si>
    <t>Lines</t>
  </si>
  <si>
    <t>File</t>
  </si>
  <si>
    <t>compliance-requirements.md</t>
  </si>
  <si>
    <t>data-pipeline-overview.md</t>
  </si>
  <si>
    <t>integration-layer.md</t>
  </si>
  <si>
    <t>module-alpha.md</t>
  </si>
  <si>
    <t>module-beta.md</t>
  </si>
  <si>
    <t>module-gamma.md</t>
  </si>
  <si>
    <t>Total Tokens</t>
  </si>
  <si>
    <t>Context %</t>
  </si>
  <si>
    <t>Messages Toksn</t>
  </si>
  <si>
    <t>Context % contribution</t>
  </si>
  <si>
    <t>AVG</t>
  </si>
  <si>
    <t>MAX</t>
  </si>
  <si>
    <t>MIN</t>
  </si>
  <si>
    <t>MIN/MAX Delta</t>
  </si>
  <si>
    <t>Total</t>
  </si>
  <si>
    <t>operations-manual.md</t>
  </si>
  <si>
    <t>architecture-deep-dive.md</t>
  </si>
  <si>
    <t>quick-reference.md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</si>
</sst>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%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9" fontId="0" fillId="0" borderId="0" xfId="0" applyNumberFormat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460C6-B2B9-A845-A0C9-A5529EFEB4F9}">
  <dimension ref="A3:K24"/>
  <sheetViews>
    <sheetView tabSelected="1" workbookViewId="0">
      <selection activeCell="C24" sqref="C24:D24"/>
    </sheetView>
  </sheetViews>
  <sheetFormatPr baseColWidth="10" defaultRowHeight="16" x14ac:dyDescent="0.2"/>
  <cols>
    <col min="1" max="1" width="13.5" bestFit="1" customWidth="1"/>
    <col min="2" max="5" width="20.5" customWidth="1"/>
    <col min="8" max="8" width="25.5" bestFit="1" customWidth="1"/>
  </cols>
  <sheetData>
    <row r="3" spans="1:11" x14ac:dyDescent="0.2">
      <c r="B3" t="s">
        <v>10</v>
      </c>
      <c r="C3" t="s">
        <v>11</v>
      </c>
      <c r="D3" t="s">
        <v>12</v>
      </c>
      <c r="E3" t="s">
        <v>13</v>
      </c>
      <c r="H3" t="s">
        <v>3</v>
      </c>
      <c r="I3" t="s">
        <v>2</v>
      </c>
      <c r="J3" t="s">
        <v>1</v>
      </c>
      <c r="K3" t="s">
        <v>0</v>
      </c>
    </row>
    <row r="4" spans="1:11" x14ac:dyDescent="0.2">
      <c r="B4">
        <v>91</v>
      </c>
      <c r="C4" s="1">
        <f>B4/200</f>
        <v>0.45500000000000002</v>
      </c>
      <c r="D4">
        <v>68.400000000000006</v>
      </c>
      <c r="E4" s="1">
        <f>D4/200</f>
        <v>0.34200000000000003</v>
      </c>
      <c r="H4" s="1" t="s">
        <v>4</v>
      </c>
      <c r="I4">
        <v>392</v>
      </c>
      <c r="J4">
        <v>3939</v>
      </c>
      <c r="K4" s="3">
        <f>J4/200000</f>
        <v>1.9695000000000001E-2</v>
      </c>
    </row>
    <row r="5" spans="1:11" x14ac:dyDescent="0.2">
      <c r="B5">
        <v>73</v>
      </c>
      <c r="C5" s="1">
        <f>B5/200</f>
        <v>0.36499999999999999</v>
      </c>
      <c r="D5">
        <v>49.7</v>
      </c>
      <c r="E5" s="1">
        <f>D5/200</f>
        <v>0.24850000000000003</v>
      </c>
      <c r="H5" s="1" t="s">
        <v>5</v>
      </c>
      <c r="I5">
        <v>425</v>
      </c>
      <c r="J5">
        <v>6041</v>
      </c>
      <c r="K5" s="3">
        <f t="shared" ref="K5:K9" si="0">J5/200000</f>
        <v>3.0204999999999999E-2</v>
      </c>
    </row>
    <row r="6" spans="1:11" x14ac:dyDescent="0.2">
      <c r="B6">
        <v>107</v>
      </c>
      <c r="C6" s="1">
        <f>B6/200</f>
        <v>0.53500000000000003</v>
      </c>
      <c r="D6">
        <v>84.3</v>
      </c>
      <c r="E6" s="1">
        <f>D6/200</f>
        <v>0.42149999999999999</v>
      </c>
      <c r="H6" s="1" t="s">
        <v>6</v>
      </c>
      <c r="I6">
        <v>529</v>
      </c>
      <c r="J6">
        <v>4886</v>
      </c>
      <c r="K6" s="3">
        <f t="shared" si="0"/>
        <v>2.443E-2</v>
      </c>
    </row>
    <row r="7" spans="1:11" x14ac:dyDescent="0.2">
      <c r="B7">
        <v>80</v>
      </c>
      <c r="C7" s="1">
        <f>B7/200</f>
        <v>0.4</v>
      </c>
      <c r="D7">
        <v>56.7</v>
      </c>
      <c r="E7" s="1">
        <f>D7/200</f>
        <v>0.28350000000000003</v>
      </c>
      <c r="H7" s="1" t="s">
        <v>7</v>
      </c>
      <c r="I7">
        <v>742</v>
      </c>
      <c r="J7">
        <v>6204</v>
      </c>
      <c r="K7" s="3">
        <f t="shared" si="0"/>
        <v>3.1019999999999999E-2</v>
      </c>
    </row>
    <row r="8" spans="1:11" x14ac:dyDescent="0.2">
      <c r="B8">
        <v>75</v>
      </c>
      <c r="C8" s="1">
        <f>B8/200</f>
        <v>0.375</v>
      </c>
      <c r="D8">
        <v>51.4</v>
      </c>
      <c r="E8" s="1">
        <f>D8/200</f>
        <v>0.25700000000000001</v>
      </c>
      <c r="H8" s="1" t="s">
        <v>8</v>
      </c>
      <c r="I8">
        <v>741</v>
      </c>
      <c r="J8">
        <v>6198</v>
      </c>
      <c r="K8" s="3">
        <f t="shared" si="0"/>
        <v>3.099E-2</v>
      </c>
    </row>
    <row r="9" spans="1:11" x14ac:dyDescent="0.2">
      <c r="B9">
        <v>80</v>
      </c>
      <c r="C9" s="1">
        <f>B9/200</f>
        <v>0.4</v>
      </c>
      <c r="D9">
        <v>56.7</v>
      </c>
      <c r="E9" s="1">
        <f>D9/200</f>
        <v>0.28350000000000003</v>
      </c>
      <c r="H9" s="1" t="s">
        <v>9</v>
      </c>
      <c r="I9">
        <v>770</v>
      </c>
      <c r="J9">
        <v>7658</v>
      </c>
      <c r="K9" s="3">
        <f t="shared" si="0"/>
        <v>3.8289999999999998E-2</v>
      </c>
    </row>
    <row r="10" spans="1:11" x14ac:dyDescent="0.2">
      <c r="B10">
        <v>90</v>
      </c>
      <c r="C10" s="1">
        <f>B10/200</f>
        <v>0.45</v>
      </c>
      <c r="D10">
        <v>67.099999999999994</v>
      </c>
      <c r="E10" s="1">
        <f>D10/200</f>
        <v>0.33549999999999996</v>
      </c>
    </row>
    <row r="11" spans="1:11" x14ac:dyDescent="0.2">
      <c r="B11">
        <v>93</v>
      </c>
      <c r="C11" s="1">
        <f>B11/200</f>
        <v>0.46500000000000002</v>
      </c>
      <c r="D11">
        <v>69.5</v>
      </c>
      <c r="E11" s="1">
        <f>D11/200</f>
        <v>0.34749999999999998</v>
      </c>
      <c r="H11" s="1" t="s">
        <v>18</v>
      </c>
      <c r="I11">
        <f>SUM(I4:I9)</f>
        <v>3599</v>
      </c>
      <c r="J11">
        <f>SUM(J4:J9)</f>
        <v>34926</v>
      </c>
      <c r="K11" s="2">
        <f>J11/I11</f>
        <v>9.704362322867464</v>
      </c>
    </row>
    <row r="12" spans="1:11" x14ac:dyDescent="0.2">
      <c r="B12">
        <v>73</v>
      </c>
      <c r="C12" s="1">
        <f>B12/200</f>
        <v>0.36499999999999999</v>
      </c>
      <c r="D12">
        <v>50</v>
      </c>
      <c r="E12" s="1">
        <f>D12/200</f>
        <v>0.25</v>
      </c>
    </row>
    <row r="13" spans="1:11" x14ac:dyDescent="0.2">
      <c r="H13" s="1" t="s">
        <v>19</v>
      </c>
      <c r="I13">
        <v>5400</v>
      </c>
      <c r="J13" s="4">
        <f>I13*K11</f>
        <v>52403.556543484308</v>
      </c>
      <c r="K13" s="3">
        <f t="shared" ref="K13:K15" si="1">J13/200000</f>
        <v>0.26201778271742154</v>
      </c>
    </row>
    <row r="14" spans="1:11" x14ac:dyDescent="0.2">
      <c r="A14" t="s">
        <v>14</v>
      </c>
      <c r="B14">
        <f>AVERAGE(B4:B12)</f>
        <v>84.666666666666671</v>
      </c>
      <c r="C14" s="1">
        <f>B14/200</f>
        <v>0.42333333333333334</v>
      </c>
      <c r="D14">
        <f>AVERAGE(D4:D12)</f>
        <v>61.533333333333331</v>
      </c>
      <c r="E14" s="1">
        <f>D14/200</f>
        <v>0.30766666666666664</v>
      </c>
      <c r="H14" t="s">
        <v>20</v>
      </c>
      <c r="I14">
        <v>2500</v>
      </c>
      <c r="J14" s="4">
        <f>I14*K11</f>
        <v>24260.90580716866</v>
      </c>
      <c r="K14" s="3">
        <f t="shared" si="1"/>
        <v>0.12130452903584329</v>
      </c>
    </row>
    <row r="15" spans="1:11" x14ac:dyDescent="0.2">
      <c r="A15" t="s">
        <v>15</v>
      </c>
      <c r="B15">
        <f>MAX(B4:B12)</f>
        <v>107</v>
      </c>
      <c r="C15" s="1">
        <f>B15/200</f>
        <v>0.53500000000000003</v>
      </c>
      <c r="D15">
        <f>MAX(D4:D12)</f>
        <v>84.3</v>
      </c>
      <c r="E15" s="1">
        <f>D15/200</f>
        <v>0.42149999999999999</v>
      </c>
      <c r="H15" s="1" t="s">
        <v>21</v>
      </c>
      <c r="I15">
        <v>400</v>
      </c>
      <c r="J15" s="4">
        <f>I15*K11</f>
        <v>3881.7449291469857</v>
      </c>
      <c r="K15" s="3">
        <f t="shared" si="1"/>
        <v>1.940872464573493E-2</v>
      </c>
    </row>
    <row r="16" spans="1:11" x14ac:dyDescent="0.2">
      <c r="A16" t="s">
        <v>16</v>
      </c>
      <c r="B16">
        <f>MIN(B4:B12)</f>
        <v>73</v>
      </c>
      <c r="C16" s="1">
        <f>B16/200</f>
        <v>0.36499999999999999</v>
      </c>
      <c r="D16">
        <f>MIN(D4:D12)</f>
        <v>49.7</v>
      </c>
      <c r="E16" s="1">
        <f>D16/200</f>
        <v>0.24850000000000003</v>
      </c>
    </row>
    <row r="18" spans="1:11" x14ac:dyDescent="0.2">
      <c r="A18" t="s">
        <v>17</v>
      </c>
      <c r="B18">
        <f>B15-B16</f>
        <v>34</v>
      </c>
      <c r="C18" s="1">
        <f>B18/200</f>
        <v>0.17</v>
      </c>
      <c r="D18">
        <f>D15-D16</f>
        <v>34.599999999999994</v>
      </c>
      <c r="E18" s="1">
        <f>D18/200</f>
        <v>0.17299999999999996</v>
      </c>
      <c r="I18">
        <v>4541</v>
      </c>
      <c r="J18">
        <v>33967</v>
      </c>
      <c r="K18" s="2">
        <f>J18/I18</f>
        <v>7.4800704690596787</v>
      </c>
    </row>
    <row r="19" spans="1:11" x14ac:dyDescent="0.2">
      <c r="I19">
        <f>J19/K18</f>
        <v>5882.2975240674768</v>
      </c>
      <c r="J19">
        <v>44000</v>
      </c>
      <c r="K19" s="2"/>
    </row>
    <row r="20" spans="1:11" x14ac:dyDescent="0.2">
      <c r="I20">
        <v>2402</v>
      </c>
      <c r="J20">
        <v>32982</v>
      </c>
      <c r="K20" s="2">
        <f>J20/I20</f>
        <v>13.731057452123231</v>
      </c>
    </row>
    <row r="21" spans="1:11" x14ac:dyDescent="0.2">
      <c r="I21">
        <f>J21/K20</f>
        <v>1675.0348675034868</v>
      </c>
      <c r="J21">
        <v>23000</v>
      </c>
    </row>
    <row r="22" spans="1:11" x14ac:dyDescent="0.2">
      <c r="I22">
        <v>1953</v>
      </c>
      <c r="J22">
        <v>14177</v>
      </c>
      <c r="K22" s="2">
        <f>J22/I22</f>
        <v>7.2590885816692268</v>
      </c>
    </row>
    <row r="23" spans="1:11" x14ac:dyDescent="0.2">
      <c r="B23">
        <v>23000</v>
      </c>
      <c r="C23">
        <v>0.88</v>
      </c>
      <c r="D23">
        <f>B23*C23</f>
        <v>20240</v>
      </c>
      <c r="I23">
        <f>J23/K22</f>
        <v>2479.6501375467305</v>
      </c>
      <c r="J23">
        <v>18000</v>
      </c>
    </row>
    <row r="24" spans="1:11" x14ac:dyDescent="0.2">
      <c r="B24">
        <v>18000</v>
      </c>
      <c r="C24">
        <v>0.88</v>
      </c>
      <c r="D24">
        <f>B24*C24</f>
        <v>15840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Gray</dc:creator>
  <cp:lastModifiedBy>Robert Gray</cp:lastModifiedBy>
  <dcterms:created xsi:type="dcterms:W3CDTF">2026-01-22T19:00:23Z</dcterms:created>
  <dcterms:modified xsi:type="dcterms:W3CDTF">2026-01-23T00:19:18Z</dcterms:modified>
</cp:coreProperties>
</file>