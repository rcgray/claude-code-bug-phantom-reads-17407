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y/Projects/claude-code-bug-phantom-reads-17407/dev/"/>
    </mc:Choice>
  </mc:AlternateContent>
  <xr:revisionPtr revIDLastSave="0" documentId="13_ncr:1_{6CAF5FF9-B2B7-D34A-83E1-07FE7866CB80}" xr6:coauthVersionLast="47" xr6:coauthVersionMax="47" xr10:uidLastSave="{00000000-0000-0000-0000-000000000000}"/>
  <bookViews>
    <workbookView xWindow="79780" yWindow="6260" windowWidth="34380" windowHeight="21800" activeTab="1" xr2:uid="{AA9C5E26-9D6E-1E43-B902-74000A46D61A}"/>
  </bookViews>
  <sheets>
    <sheet name="Sheet1" sheetId="1" r:id="rId1"/>
    <sheet name="Experiment-Methodology-04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G4" i="2"/>
  <c r="G3" i="2"/>
  <c r="F21" i="2"/>
  <c r="D21" i="2"/>
  <c r="C21" i="2"/>
  <c r="G19" i="2"/>
  <c r="E19" i="2"/>
  <c r="G18" i="2"/>
  <c r="G17" i="2"/>
  <c r="G16" i="2"/>
  <c r="G15" i="2"/>
  <c r="G14" i="2"/>
  <c r="G13" i="2"/>
  <c r="G10" i="2"/>
  <c r="E10" i="2"/>
  <c r="G9" i="2"/>
  <c r="E9" i="2"/>
  <c r="G8" i="2"/>
  <c r="E8" i="2"/>
  <c r="G7" i="2"/>
  <c r="K29" i="1"/>
  <c r="J29" i="1"/>
  <c r="I29" i="1"/>
  <c r="K28" i="1"/>
  <c r="K27" i="1"/>
  <c r="K26" i="1"/>
  <c r="K25" i="1"/>
  <c r="D24" i="1"/>
  <c r="K22" i="1"/>
  <c r="I23" i="1" s="1"/>
  <c r="K20" i="1"/>
  <c r="I21" i="1" s="1"/>
  <c r="D23" i="1"/>
  <c r="K18" i="1"/>
  <c r="I19" i="1" s="1"/>
  <c r="J11" i="1"/>
  <c r="K11" i="1" s="1"/>
  <c r="I11" i="1"/>
  <c r="K5" i="1"/>
  <c r="K6" i="1"/>
  <c r="K7" i="1"/>
  <c r="K8" i="1"/>
  <c r="K9" i="1"/>
  <c r="K4" i="1"/>
  <c r="D16" i="1"/>
  <c r="E16" i="1" s="1"/>
  <c r="D15" i="1"/>
  <c r="D18" i="1" s="1"/>
  <c r="E18" i="1" s="1"/>
  <c r="B16" i="1"/>
  <c r="C16" i="1" s="1"/>
  <c r="B15" i="1"/>
  <c r="C15" i="1" s="1"/>
  <c r="E12" i="1"/>
  <c r="E11" i="1"/>
  <c r="E10" i="1"/>
  <c r="E9" i="1"/>
  <c r="E8" i="1"/>
  <c r="E7" i="1"/>
  <c r="E6" i="1"/>
  <c r="E5" i="1"/>
  <c r="E4" i="1"/>
  <c r="C12" i="1"/>
  <c r="C11" i="1"/>
  <c r="C10" i="1"/>
  <c r="C9" i="1"/>
  <c r="C8" i="1"/>
  <c r="C7" i="1"/>
  <c r="C6" i="1"/>
  <c r="C5" i="1"/>
  <c r="C4" i="1"/>
  <c r="D14" i="1"/>
  <c r="E14" i="1" s="1"/>
  <c r="B14" i="1"/>
  <c r="C14" i="1" s="1"/>
  <c r="G21" i="2" l="1"/>
  <c r="J14" i="1"/>
  <c r="K14" i="1" s="1"/>
  <c r="J15" i="1"/>
  <c r="K15" i="1" s="1"/>
  <c r="J13" i="1"/>
  <c r="K13" i="1" s="1"/>
  <c r="H26" i="2"/>
  <c r="H24" i="2"/>
  <c r="E15" i="1"/>
  <c r="B18" i="1"/>
  <c r="C18" i="1" s="1"/>
</calcChain>
</file>

<file path=xl/sharedStrings.xml><?xml version="1.0" encoding="utf-8"?>
<sst xmlns="http://schemas.openxmlformats.org/spreadsheetml/2006/main" count="58" uniqueCount="44">
  <si>
    <t>Token %</t>
  </si>
  <si>
    <t>Tokens</t>
  </si>
  <si>
    <t>Lines</t>
  </si>
  <si>
    <t>File</t>
  </si>
  <si>
    <t>compliance-requirements.md</t>
  </si>
  <si>
    <t>data-pipeline-overview.md</t>
  </si>
  <si>
    <t>integration-layer.md</t>
  </si>
  <si>
    <t>module-alpha.md</t>
  </si>
  <si>
    <t>module-beta.md</t>
  </si>
  <si>
    <t>module-gamma.md</t>
  </si>
  <si>
    <t>Total Tokens</t>
  </si>
  <si>
    <t>Context %</t>
  </si>
  <si>
    <t>Messages Toksn</t>
  </si>
  <si>
    <t>Context % contribution</t>
  </si>
  <si>
    <t>AVG</t>
  </si>
  <si>
    <t>MAX</t>
  </si>
  <si>
    <t>MIN</t>
  </si>
  <si>
    <t>MIN/MAX Delta</t>
  </si>
  <si>
    <t>Total</t>
  </si>
  <si>
    <t>operations-manual.md</t>
  </si>
  <si>
    <t>architecture-deep-dive.md</t>
  </si>
  <si>
    <t>quick-reference.md</t>
  </si>
  <si>
    <t>Pre-load Files</t>
  </si>
  <si>
    <t>Dynamic Files</t>
  </si>
  <si>
    <t>Token Count</t>
  </si>
  <si>
    <t>docs/specs/operations-manual-standard.md</t>
  </si>
  <si>
    <t>docs/specs/operations-manual-exceptions.md</t>
  </si>
  <si>
    <t>docs/specs/architecture-deep-dive.md</t>
  </si>
  <si>
    <t>docs/specs/troubleshooting-compendium.md</t>
  </si>
  <si>
    <t>Read(docs/wpds/pipeline-refactor.md)</t>
  </si>
  <si>
    <t>Read(docs/specs/data-pipeline-overview.md)</t>
  </si>
  <si>
    <t>Read(docs/specs/module-alpha.md)</t>
  </si>
  <si>
    <t>Read(docs/specs/module-beta.md)</t>
  </si>
  <si>
    <t>Read(docs/specs/module-gamma.md)</t>
  </si>
  <si>
    <t>Read(docs/specs/integration-layer.md)</t>
  </si>
  <si>
    <t>Read(docs/specs/compliance-requirements.md)</t>
  </si>
  <si>
    <t>size (bytes)</t>
  </si>
  <si>
    <t>byte-to-tokens</t>
  </si>
  <si>
    <t xml:space="preserve">Tokens -&gt; </t>
  </si>
  <si>
    <t>Bytes</t>
  </si>
  <si>
    <t xml:space="preserve">Bytes -&gt; </t>
  </si>
  <si>
    <t>Totals</t>
  </si>
  <si>
    <t>.claude/commands/setup-hard.md</t>
  </si>
  <si>
    <t>.claude/commands/analyze-wpd.md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</si>
</sst>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460C6-B2B9-A845-A0C9-A5529EFEB4F9}">
  <dimension ref="A3:K29"/>
  <sheetViews>
    <sheetView workbookViewId="0">
      <selection activeCell="J33" sqref="J33"/>
    </sheetView>
  </sheetViews>
  <sheetFormatPr baseColWidth="10" defaultRowHeight="16" x14ac:dyDescent="0.2"/>
  <cols>
    <col min="1" max="1" width="13.5" bestFit="1" customWidth="1"/>
    <col min="2" max="2" width="41.33203125" bestFit="1" customWidth="1"/>
    <col min="3" max="5" width="20.5" customWidth="1"/>
    <col min="6" max="6" width="10.6640625" bestFit="1" customWidth="1"/>
    <col min="7" max="7" width="13.33203125" bestFit="1" customWidth="1"/>
    <col min="8" max="8" width="25.5" bestFit="1" customWidth="1"/>
  </cols>
  <sheetData>
    <row r="3" spans="1:11" x14ac:dyDescent="0.2">
      <c r="B3" t="s">
        <v>10</v>
      </c>
      <c r="C3" t="s">
        <v>11</v>
      </c>
      <c r="D3" t="s">
        <v>12</v>
      </c>
      <c r="E3" t="s">
        <v>13</v>
      </c>
      <c r="H3" t="s">
        <v>3</v>
      </c>
      <c r="I3" t="s">
        <v>2</v>
      </c>
      <c r="J3" t="s">
        <v>1</v>
      </c>
      <c r="K3" t="s">
        <v>0</v>
      </c>
    </row>
    <row r="4" spans="1:11" x14ac:dyDescent="0.2">
      <c r="B4">
        <v>91</v>
      </c>
      <c r="C4" s="1">
        <f>B4/200</f>
        <v>0.45500000000000002</v>
      </c>
      <c r="D4">
        <v>68.400000000000006</v>
      </c>
      <c r="E4" s="1">
        <f>D4/200</f>
        <v>0.34200000000000003</v>
      </c>
      <c r="H4" s="1" t="s">
        <v>4</v>
      </c>
      <c r="I4">
        <v>392</v>
      </c>
      <c r="J4">
        <v>3939</v>
      </c>
      <c r="K4" s="3">
        <f>J4/200000</f>
        <v>1.9695000000000001E-2</v>
      </c>
    </row>
    <row r="5" spans="1:11" x14ac:dyDescent="0.2">
      <c r="B5">
        <v>73</v>
      </c>
      <c r="C5" s="1">
        <f>B5/200</f>
        <v>0.36499999999999999</v>
      </c>
      <c r="D5">
        <v>49.7</v>
      </c>
      <c r="E5" s="1">
        <f>D5/200</f>
        <v>0.24850000000000003</v>
      </c>
      <c r="H5" s="1" t="s">
        <v>5</v>
      </c>
      <c r="I5">
        <v>425</v>
      </c>
      <c r="J5">
        <v>6041</v>
      </c>
      <c r="K5" s="3">
        <f t="shared" ref="K5:K9" si="0">J5/200000</f>
        <v>3.0204999999999999E-2</v>
      </c>
    </row>
    <row r="6" spans="1:11" x14ac:dyDescent="0.2">
      <c r="B6">
        <v>107</v>
      </c>
      <c r="C6" s="1">
        <f>B6/200</f>
        <v>0.53500000000000003</v>
      </c>
      <c r="D6">
        <v>84.3</v>
      </c>
      <c r="E6" s="1">
        <f>D6/200</f>
        <v>0.42149999999999999</v>
      </c>
      <c r="H6" s="1" t="s">
        <v>6</v>
      </c>
      <c r="I6">
        <v>529</v>
      </c>
      <c r="J6">
        <v>4886</v>
      </c>
      <c r="K6" s="3">
        <f t="shared" si="0"/>
        <v>2.443E-2</v>
      </c>
    </row>
    <row r="7" spans="1:11" x14ac:dyDescent="0.2">
      <c r="B7">
        <v>80</v>
      </c>
      <c r="C7" s="1">
        <f>B7/200</f>
        <v>0.4</v>
      </c>
      <c r="D7">
        <v>56.7</v>
      </c>
      <c r="E7" s="1">
        <f>D7/200</f>
        <v>0.28350000000000003</v>
      </c>
      <c r="H7" s="1" t="s">
        <v>7</v>
      </c>
      <c r="I7">
        <v>742</v>
      </c>
      <c r="J7">
        <v>6204</v>
      </c>
      <c r="K7" s="3">
        <f t="shared" si="0"/>
        <v>3.1019999999999999E-2</v>
      </c>
    </row>
    <row r="8" spans="1:11" x14ac:dyDescent="0.2">
      <c r="B8">
        <v>75</v>
      </c>
      <c r="C8" s="1">
        <f>B8/200</f>
        <v>0.375</v>
      </c>
      <c r="D8">
        <v>51.4</v>
      </c>
      <c r="E8" s="1">
        <f>D8/200</f>
        <v>0.25700000000000001</v>
      </c>
      <c r="H8" s="1" t="s">
        <v>8</v>
      </c>
      <c r="I8">
        <v>741</v>
      </c>
      <c r="J8">
        <v>6198</v>
      </c>
      <c r="K8" s="3">
        <f t="shared" si="0"/>
        <v>3.099E-2</v>
      </c>
    </row>
    <row r="9" spans="1:11" x14ac:dyDescent="0.2">
      <c r="B9">
        <v>80</v>
      </c>
      <c r="C9" s="1">
        <f>B9/200</f>
        <v>0.4</v>
      </c>
      <c r="D9">
        <v>56.7</v>
      </c>
      <c r="E9" s="1">
        <f>D9/200</f>
        <v>0.28350000000000003</v>
      </c>
      <c r="H9" s="1" t="s">
        <v>9</v>
      </c>
      <c r="I9">
        <v>770</v>
      </c>
      <c r="J9">
        <v>7658</v>
      </c>
      <c r="K9" s="3">
        <f t="shared" si="0"/>
        <v>3.8289999999999998E-2</v>
      </c>
    </row>
    <row r="10" spans="1:11" x14ac:dyDescent="0.2">
      <c r="B10">
        <v>90</v>
      </c>
      <c r="C10" s="1">
        <f>B10/200</f>
        <v>0.45</v>
      </c>
      <c r="D10">
        <v>67.099999999999994</v>
      </c>
      <c r="E10" s="1">
        <f>D10/200</f>
        <v>0.33549999999999996</v>
      </c>
    </row>
    <row r="11" spans="1:11" x14ac:dyDescent="0.2">
      <c r="B11">
        <v>93</v>
      </c>
      <c r="C11" s="1">
        <f>B11/200</f>
        <v>0.46500000000000002</v>
      </c>
      <c r="D11">
        <v>69.5</v>
      </c>
      <c r="E11" s="1">
        <f>D11/200</f>
        <v>0.34749999999999998</v>
      </c>
      <c r="H11" s="1" t="s">
        <v>18</v>
      </c>
      <c r="I11">
        <f>SUM(I4:I9)</f>
        <v>3599</v>
      </c>
      <c r="J11">
        <f>SUM(J4:J9)</f>
        <v>34926</v>
      </c>
      <c r="K11" s="2">
        <f>J11/I11</f>
        <v>9.704362322867464</v>
      </c>
    </row>
    <row r="12" spans="1:11" x14ac:dyDescent="0.2">
      <c r="B12">
        <v>73</v>
      </c>
      <c r="C12" s="1">
        <f>B12/200</f>
        <v>0.36499999999999999</v>
      </c>
      <c r="D12">
        <v>50</v>
      </c>
      <c r="E12" s="1">
        <f>D12/200</f>
        <v>0.25</v>
      </c>
    </row>
    <row r="13" spans="1:11" x14ac:dyDescent="0.2">
      <c r="H13" s="1" t="s">
        <v>19</v>
      </c>
      <c r="I13">
        <v>5400</v>
      </c>
      <c r="J13" s="4">
        <f>I13*K11</f>
        <v>52403.556543484308</v>
      </c>
      <c r="K13" s="3">
        <f t="shared" ref="K13:K15" si="1">J13/200000</f>
        <v>0.26201778271742154</v>
      </c>
    </row>
    <row r="14" spans="1:11" x14ac:dyDescent="0.2">
      <c r="A14" t="s">
        <v>14</v>
      </c>
      <c r="B14">
        <f>AVERAGE(B4:B12)</f>
        <v>84.666666666666671</v>
      </c>
      <c r="C14" s="1">
        <f>B14/200</f>
        <v>0.42333333333333334</v>
      </c>
      <c r="D14">
        <f>AVERAGE(D4:D12)</f>
        <v>61.533333333333331</v>
      </c>
      <c r="E14" s="1">
        <f>D14/200</f>
        <v>0.30766666666666664</v>
      </c>
      <c r="H14" t="s">
        <v>20</v>
      </c>
      <c r="I14">
        <v>2500</v>
      </c>
      <c r="J14" s="4">
        <f>I14*K11</f>
        <v>24260.90580716866</v>
      </c>
      <c r="K14" s="3">
        <f t="shared" si="1"/>
        <v>0.12130452903584329</v>
      </c>
    </row>
    <row r="15" spans="1:11" x14ac:dyDescent="0.2">
      <c r="A15" t="s">
        <v>15</v>
      </c>
      <c r="B15">
        <f>MAX(B4:B12)</f>
        <v>107</v>
      </c>
      <c r="C15" s="1">
        <f>B15/200</f>
        <v>0.53500000000000003</v>
      </c>
      <c r="D15">
        <f>MAX(D4:D12)</f>
        <v>84.3</v>
      </c>
      <c r="E15" s="1">
        <f>D15/200</f>
        <v>0.42149999999999999</v>
      </c>
      <c r="H15" s="1" t="s">
        <v>21</v>
      </c>
      <c r="I15">
        <v>400</v>
      </c>
      <c r="J15" s="4">
        <f>I15*K11</f>
        <v>3881.7449291469857</v>
      </c>
      <c r="K15" s="3">
        <f t="shared" si="1"/>
        <v>1.940872464573493E-2</v>
      </c>
    </row>
    <row r="16" spans="1:11" x14ac:dyDescent="0.2">
      <c r="A16" t="s">
        <v>16</v>
      </c>
      <c r="B16">
        <f>MIN(B4:B12)</f>
        <v>73</v>
      </c>
      <c r="C16" s="1">
        <f>B16/200</f>
        <v>0.36499999999999999</v>
      </c>
      <c r="D16">
        <f>MIN(D4:D12)</f>
        <v>49.7</v>
      </c>
      <c r="E16" s="1">
        <f>D16/200</f>
        <v>0.24850000000000003</v>
      </c>
    </row>
    <row r="18" spans="1:11" x14ac:dyDescent="0.2">
      <c r="A18" t="s">
        <v>17</v>
      </c>
      <c r="B18">
        <f>B15-B16</f>
        <v>34</v>
      </c>
      <c r="C18" s="1">
        <f>B18/200</f>
        <v>0.17</v>
      </c>
      <c r="D18">
        <f>D15-D16</f>
        <v>34.599999999999994</v>
      </c>
      <c r="E18" s="1">
        <f>D18/200</f>
        <v>0.17299999999999996</v>
      </c>
      <c r="I18">
        <v>4541</v>
      </c>
      <c r="J18">
        <v>33967</v>
      </c>
      <c r="K18" s="2">
        <f>J18/I18</f>
        <v>7.4800704690596787</v>
      </c>
    </row>
    <row r="19" spans="1:11" x14ac:dyDescent="0.2">
      <c r="I19">
        <f>J19/K18</f>
        <v>5882.2975240674768</v>
      </c>
      <c r="J19">
        <v>44000</v>
      </c>
      <c r="K19" s="2"/>
    </row>
    <row r="20" spans="1:11" x14ac:dyDescent="0.2">
      <c r="I20">
        <v>2402</v>
      </c>
      <c r="J20">
        <v>32982</v>
      </c>
      <c r="K20" s="2">
        <f>J20/I20</f>
        <v>13.731057452123231</v>
      </c>
    </row>
    <row r="21" spans="1:11" x14ac:dyDescent="0.2">
      <c r="I21">
        <f>J21/K20</f>
        <v>1675.0348675034868</v>
      </c>
      <c r="J21">
        <v>23000</v>
      </c>
    </row>
    <row r="22" spans="1:11" x14ac:dyDescent="0.2">
      <c r="I22">
        <v>1953</v>
      </c>
      <c r="J22">
        <v>14177</v>
      </c>
      <c r="K22" s="2">
        <f>J22/I22</f>
        <v>7.2590885816692268</v>
      </c>
    </row>
    <row r="23" spans="1:11" x14ac:dyDescent="0.2">
      <c r="B23">
        <v>23000</v>
      </c>
      <c r="C23">
        <v>0.88</v>
      </c>
      <c r="D23">
        <f>B23*C23</f>
        <v>20240</v>
      </c>
      <c r="I23">
        <f>J23/K22</f>
        <v>2479.6501375467305</v>
      </c>
      <c r="J23">
        <v>18000</v>
      </c>
    </row>
    <row r="24" spans="1:11" x14ac:dyDescent="0.2">
      <c r="B24">
        <v>18000</v>
      </c>
      <c r="C24">
        <v>0.88</v>
      </c>
      <c r="D24">
        <f>B24*C24</f>
        <v>15840</v>
      </c>
    </row>
    <row r="25" spans="1:11" x14ac:dyDescent="0.2">
      <c r="I25">
        <v>962</v>
      </c>
      <c r="J25">
        <v>19232</v>
      </c>
      <c r="K25">
        <f>J25/200000</f>
        <v>9.6159999999999995E-2</v>
      </c>
    </row>
    <row r="26" spans="1:11" x14ac:dyDescent="0.2">
      <c r="I26">
        <v>2497</v>
      </c>
      <c r="J26">
        <v>21988</v>
      </c>
      <c r="K26">
        <f>J26/200000</f>
        <v>0.10994</v>
      </c>
    </row>
    <row r="27" spans="1:11" x14ac:dyDescent="0.2">
      <c r="I27">
        <v>1952</v>
      </c>
      <c r="J27">
        <v>23941</v>
      </c>
      <c r="K27">
        <f>J27/200000</f>
        <v>0.11970500000000001</v>
      </c>
    </row>
    <row r="28" spans="1:11" x14ac:dyDescent="0.2">
      <c r="I28">
        <v>2005</v>
      </c>
      <c r="J28">
        <v>18088</v>
      </c>
      <c r="K28">
        <f>J28/200000</f>
        <v>9.0440000000000006E-2</v>
      </c>
    </row>
    <row r="29" spans="1:11" x14ac:dyDescent="0.2">
      <c r="I29">
        <f>SUM(I25:I28)</f>
        <v>7416</v>
      </c>
      <c r="J29">
        <f>SUM(J25:J28)</f>
        <v>83249</v>
      </c>
      <c r="K29">
        <f>SUM(K25:K28)</f>
        <v>0.41624500000000003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DC2A5-F0C5-254F-9660-50846ED4BEC2}">
  <dimension ref="B2:H26"/>
  <sheetViews>
    <sheetView tabSelected="1" workbookViewId="0">
      <selection activeCell="B25" sqref="B25"/>
    </sheetView>
  </sheetViews>
  <sheetFormatPr baseColWidth="10" defaultRowHeight="16" x14ac:dyDescent="0.2"/>
  <cols>
    <col min="2" max="2" width="41.33203125" bestFit="1" customWidth="1"/>
    <col min="3" max="7" width="13.83203125" customWidth="1"/>
    <col min="8" max="8" width="13" customWidth="1"/>
  </cols>
  <sheetData>
    <row r="2" spans="2:7" x14ac:dyDescent="0.2">
      <c r="B2" s="5" t="s">
        <v>22</v>
      </c>
      <c r="C2" s="5" t="s">
        <v>24</v>
      </c>
      <c r="D2" s="5" t="s">
        <v>2</v>
      </c>
      <c r="E2" s="5" t="s">
        <v>10</v>
      </c>
      <c r="F2" s="5" t="s">
        <v>36</v>
      </c>
      <c r="G2" s="5" t="s">
        <v>37</v>
      </c>
    </row>
    <row r="3" spans="2:7" x14ac:dyDescent="0.2">
      <c r="B3" t="s">
        <v>42</v>
      </c>
      <c r="C3">
        <v>402</v>
      </c>
      <c r="D3">
        <v>52</v>
      </c>
      <c r="F3">
        <v>1490</v>
      </c>
      <c r="G3">
        <f>F3/C3</f>
        <v>3.7064676616915424</v>
      </c>
    </row>
    <row r="4" spans="2:7" x14ac:dyDescent="0.2">
      <c r="B4" t="s">
        <v>43</v>
      </c>
      <c r="C4">
        <v>618</v>
      </c>
      <c r="D4">
        <v>63</v>
      </c>
      <c r="E4">
        <f>SUM(C3:C4)</f>
        <v>1020</v>
      </c>
      <c r="F4">
        <v>2559</v>
      </c>
      <c r="G4">
        <f>F4/C4</f>
        <v>4.1407766990291259</v>
      </c>
    </row>
    <row r="6" spans="2:7" x14ac:dyDescent="0.2">
      <c r="B6" s="5" t="s">
        <v>22</v>
      </c>
      <c r="C6" s="5" t="s">
        <v>24</v>
      </c>
      <c r="D6" s="5" t="s">
        <v>2</v>
      </c>
      <c r="E6" s="5" t="s">
        <v>10</v>
      </c>
      <c r="F6" s="5" t="s">
        <v>36</v>
      </c>
      <c r="G6" s="5" t="s">
        <v>37</v>
      </c>
    </row>
    <row r="7" spans="2:7" x14ac:dyDescent="0.2">
      <c r="B7" t="s">
        <v>25</v>
      </c>
      <c r="C7">
        <v>19323</v>
      </c>
      <c r="D7">
        <v>963</v>
      </c>
      <c r="F7">
        <v>108497</v>
      </c>
      <c r="G7">
        <f>F7/C7</f>
        <v>5.614914868291673</v>
      </c>
    </row>
    <row r="8" spans="2:7" x14ac:dyDescent="0.2">
      <c r="B8" t="s">
        <v>26</v>
      </c>
      <c r="C8">
        <v>15636</v>
      </c>
      <c r="D8">
        <v>1593</v>
      </c>
      <c r="E8">
        <f>SUM(C7:C8)</f>
        <v>34959</v>
      </c>
      <c r="F8">
        <v>66444</v>
      </c>
      <c r="G8">
        <f>F8/C8</f>
        <v>4.2494244052187264</v>
      </c>
    </row>
    <row r="9" spans="2:7" x14ac:dyDescent="0.2">
      <c r="B9" t="s">
        <v>27</v>
      </c>
      <c r="C9">
        <v>14676</v>
      </c>
      <c r="D9">
        <v>1071</v>
      </c>
      <c r="E9">
        <f>SUM(C7:C9)</f>
        <v>49635</v>
      </c>
      <c r="F9">
        <v>85873</v>
      </c>
      <c r="G9">
        <f>F9/C9</f>
        <v>5.8512537476151536</v>
      </c>
    </row>
    <row r="10" spans="2:7" x14ac:dyDescent="0.2">
      <c r="B10" t="s">
        <v>28</v>
      </c>
      <c r="C10">
        <v>18477</v>
      </c>
      <c r="D10">
        <v>2006</v>
      </c>
      <c r="E10">
        <f>SUM(C7:C10)</f>
        <v>68112</v>
      </c>
      <c r="F10">
        <v>83359</v>
      </c>
      <c r="G10">
        <f>F10/C10</f>
        <v>4.5115007847594306</v>
      </c>
    </row>
    <row r="12" spans="2:7" x14ac:dyDescent="0.2">
      <c r="B12" s="5" t="s">
        <v>23</v>
      </c>
      <c r="C12" s="5" t="s">
        <v>24</v>
      </c>
      <c r="D12" s="5" t="s">
        <v>2</v>
      </c>
      <c r="E12" s="5" t="s">
        <v>10</v>
      </c>
      <c r="F12" s="5" t="s">
        <v>36</v>
      </c>
      <c r="G12" s="5" t="s">
        <v>37</v>
      </c>
    </row>
    <row r="13" spans="2:7" x14ac:dyDescent="0.2">
      <c r="B13" t="s">
        <v>29</v>
      </c>
      <c r="C13">
        <v>5034</v>
      </c>
      <c r="D13">
        <v>393</v>
      </c>
      <c r="F13">
        <v>21978</v>
      </c>
      <c r="G13">
        <f>F13/C13</f>
        <v>4.365911799761621</v>
      </c>
    </row>
    <row r="14" spans="2:7" x14ac:dyDescent="0.2">
      <c r="B14" t="s">
        <v>30</v>
      </c>
      <c r="C14">
        <v>6041</v>
      </c>
      <c r="D14">
        <v>426</v>
      </c>
      <c r="F14">
        <v>32350</v>
      </c>
      <c r="G14">
        <f>F14/C14</f>
        <v>5.3550736633007778</v>
      </c>
    </row>
    <row r="15" spans="2:7" x14ac:dyDescent="0.2">
      <c r="B15" t="s">
        <v>31</v>
      </c>
      <c r="C15">
        <v>6204</v>
      </c>
      <c r="D15">
        <v>743</v>
      </c>
      <c r="F15">
        <v>24863</v>
      </c>
      <c r="G15">
        <f>F15/C15</f>
        <v>4.0075757575757578</v>
      </c>
    </row>
    <row r="16" spans="2:7" x14ac:dyDescent="0.2">
      <c r="B16" t="s">
        <v>32</v>
      </c>
      <c r="C16">
        <v>6198</v>
      </c>
      <c r="D16">
        <v>742</v>
      </c>
      <c r="F16">
        <v>26029</v>
      </c>
      <c r="G16">
        <f>F16/C16</f>
        <v>4.1995805098418844</v>
      </c>
    </row>
    <row r="17" spans="2:8" x14ac:dyDescent="0.2">
      <c r="B17" t="s">
        <v>33</v>
      </c>
      <c r="C17">
        <v>7658</v>
      </c>
      <c r="D17">
        <v>772</v>
      </c>
      <c r="F17">
        <v>33133</v>
      </c>
      <c r="G17">
        <f>F17/C17</f>
        <v>4.3265865761295377</v>
      </c>
    </row>
    <row r="18" spans="2:8" x14ac:dyDescent="0.2">
      <c r="B18" t="s">
        <v>34</v>
      </c>
      <c r="C18">
        <v>4886</v>
      </c>
      <c r="D18">
        <v>531</v>
      </c>
      <c r="F18">
        <v>20349</v>
      </c>
      <c r="G18">
        <f>F18/C18</f>
        <v>4.1647564469914036</v>
      </c>
    </row>
    <row r="19" spans="2:8" x14ac:dyDescent="0.2">
      <c r="B19" t="s">
        <v>35</v>
      </c>
      <c r="C19">
        <v>3939</v>
      </c>
      <c r="D19">
        <v>393</v>
      </c>
      <c r="E19">
        <f>SUM(C13:C19)</f>
        <v>39960</v>
      </c>
      <c r="F19">
        <v>18690</v>
      </c>
      <c r="G19">
        <f>F19/C19</f>
        <v>4.744859101294745</v>
      </c>
    </row>
    <row r="21" spans="2:8" x14ac:dyDescent="0.2">
      <c r="B21" t="s">
        <v>41</v>
      </c>
      <c r="C21">
        <f>SUM(C7:C10,C13:C19)</f>
        <v>108072</v>
      </c>
      <c r="D21">
        <f>SUM(D7:D10,D13:D19)</f>
        <v>9633</v>
      </c>
      <c r="F21">
        <f>SUM(F7:F10,F13:F19)</f>
        <v>521565</v>
      </c>
      <c r="G21">
        <f>F21/C21</f>
        <v>4.8260881634465909</v>
      </c>
    </row>
    <row r="23" spans="2:8" x14ac:dyDescent="0.2">
      <c r="G23" s="5" t="s">
        <v>38</v>
      </c>
      <c r="H23" s="5" t="s">
        <v>39</v>
      </c>
    </row>
    <row r="24" spans="2:8" x14ac:dyDescent="0.2">
      <c r="G24" s="6">
        <v>25000</v>
      </c>
      <c r="H24" s="4">
        <f>G24*G21</f>
        <v>120652.20408616477</v>
      </c>
    </row>
    <row r="25" spans="2:8" x14ac:dyDescent="0.2">
      <c r="G25" s="5" t="s">
        <v>40</v>
      </c>
      <c r="H25" s="5" t="s">
        <v>1</v>
      </c>
    </row>
    <row r="26" spans="2:8" x14ac:dyDescent="0.2">
      <c r="G26" s="6">
        <v>66000</v>
      </c>
      <c r="H26" s="4">
        <f>G26/G21</f>
        <v>13675.672255615313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Experiment-Methodology-04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Gray</dc:creator>
  <cp:lastModifiedBy>Robert Gray</cp:lastModifiedBy>
  <dcterms:created xsi:type="dcterms:W3CDTF">2026-01-22T19:00:23Z</dcterms:created>
  <dcterms:modified xsi:type="dcterms:W3CDTF">2026-01-23T23:01:15Z</dcterms:modified>
</cp:coreProperties>
</file>